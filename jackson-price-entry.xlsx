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e5a218228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cery Prices" sheetId="1" r:id="R81203dc385bb4571"/>
    <x:sheet xmlns:r="http://schemas.openxmlformats.org/officeDocument/2006/relationships" name="Fuel Prices" sheetId="2" r:id="R4f6bfc1a30754065"/>
    <x:sheet xmlns:r="http://schemas.openxmlformats.org/officeDocument/2006/relationships" name="Summary" sheetId="3" r:id="R8c1085bc244c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968"/>
      </x:patternFill>
    </x:fill>
    <x:fill>
      <x:patternFill patternType="solid">
        <x:fgColor rgb="FFD7E6E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1f7aa802f46e5" /><Relationship Type="http://schemas.openxmlformats.org/officeDocument/2006/relationships/theme" Target="/xl/theme/theme1.xml" Id="R93dbe00d8fb240b2" /><Relationship Type="http://schemas.openxmlformats.org/officeDocument/2006/relationships/sharedStrings" Target="/xl/sharedStrings.xml" Id="R6206405504ea4767" /><Relationship Type="http://schemas.openxmlformats.org/officeDocument/2006/relationships/worksheet" Target="/xl/worksheets/sheet1.xml" Id="R81203dc385bb4571" /><Relationship Type="http://schemas.openxmlformats.org/officeDocument/2006/relationships/worksheet" Target="/xl/worksheets/sheet2.xml" Id="R4f6bfc1a30754065" /><Relationship Type="http://schemas.openxmlformats.org/officeDocument/2006/relationships/worksheet" Target="/xl/worksheets/sheet3.xml" Id="R8c1085bc244c4b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4.4399995803833" hidden="0" customWidth="1"/>
    <x:col min="3" max="3" width="23.329999923706055" hidden="0" customWidth="1"/>
    <x:col min="4" max="4" width="17.780000686645508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>
      <x:c r="A1" s="6" t="str">
        <x:v>Date</x:v>
      </x:c>
      <x:c r="B1" s="6" t="str">
        <x:v>Category</x:v>
      </x:c>
      <x:c r="C1" s="6" t="str">
        <x:v>Item</x:v>
      </x:c>
      <x:c r="D1" s="6" t="str">
        <x:v>Size</x:v>
      </x:c>
      <x:c r="E1" s="6" t="str">
        <x:v>IGA Price</x:v>
      </x:c>
      <x:c r="F1" s="6" t="str">
        <x:v>Walmart Price</x:v>
      </x:c>
      <x:c r="G1" s="6" t="str">
        <x:v>Lowest Store</x:v>
      </x:c>
      <x:c r="H1" s="6" t="str">
        <x:v>Lowest Price</x:v>
      </x:c>
    </x:row>
    <x:row r="2">
      <x:c r="A2" s="7" t="n">
        <x:v>46185</x:v>
      </x:c>
      <x:c r="B2" t="str">
        <x:v>Dairy &amp; Eggs</x:v>
      </x:c>
      <x:c r="C2" t="str">
        <x:v>Eggs Dozen Large</x:v>
      </x:c>
      <x:c r="D2" t="str">
        <x:v>12 large eggs</x:v>
      </x:c>
      <x:c r="E2" s="8" t="n">
        <x:v>3.49</x:v>
      </x:c>
      <x:c r="F2" s="8" t="n">
        <x:v>2.96</x:v>
      </x:c>
      <x:c r="G2" t="str">
        <x:f>IF(COUNTA(E2:F2)=0,"",IF(E2=F2,"Tie",IF(E2&lt;F2,"IGA","Walmart")))</x:f>
        <x:v>Walmart</x:v>
      </x:c>
      <x:c r="H2" s="8" t="n">
        <x:f>IF(COUNTA(E2:F2)=0,"",MIN(E2:F2))</x:f>
        <x:v>2.96</x:v>
      </x:c>
    </x:row>
    <x:row r="3">
      <x:c r="A3" s="7" t="n">
        <x:v>46185</x:v>
      </x:c>
      <x:c r="B3" t="str">
        <x:v>Dairy &amp; Eggs</x:v>
      </x:c>
      <x:c r="C3" t="str">
        <x:v>Milk Gallon Whole</x:v>
      </x:c>
      <x:c r="D3" t="str">
        <x:v>1 gallon</x:v>
      </x:c>
      <x:c r="E3" s="8" t="n">
        <x:v>4.39</x:v>
      </x:c>
      <x:c r="F3" s="8" t="n">
        <x:v>3.82</x:v>
      </x:c>
      <x:c r="G3" t="str">
        <x:f>IF(COUNTA(E3:F3)=0,"",IF(E3=F3,"Tie",IF(E3&lt;F3,"IGA","Walmart")))</x:f>
        <x:v>Walmart</x:v>
      </x:c>
      <x:c r="H3" s="8" t="n">
        <x:f>IF(COUNTA(E3:F3)=0,"",MIN(E3:F3))</x:f>
        <x:v>3.82</x:v>
      </x:c>
    </x:row>
    <x:row r="4">
      <x:c r="A4" s="7" t="n">
        <x:v>46185</x:v>
      </x:c>
      <x:c r="B4" t="str">
        <x:v>Pantry</x:v>
      </x:c>
      <x:c r="C4" t="str">
        <x:v>White Bread</x:v>
      </x:c>
      <x:c r="D4" t="str">
        <x:v>20 oz loaf</x:v>
      </x:c>
      <x:c r="E4" s="8" t="n">
        <x:v>2.79</x:v>
      </x:c>
      <x:c r="F4" s="8" t="n">
        <x:v>1.88</x:v>
      </x:c>
      <x:c r="G4" t="str">
        <x:f>IF(COUNTA(E4:F4)=0,"",IF(E4=F4,"Tie",IF(E4&lt;F4,"IGA","Walmart")))</x:f>
        <x:v>Walmart</x:v>
      </x:c>
      <x:c r="H4" s="8" t="n">
        <x:f>IF(COUNTA(E4:F4)=0,"",MIN(E4:F4))</x:f>
        <x:v>1.88</x:v>
      </x:c>
    </x:row>
    <x:row r="5">
      <x:c r="A5" s="7" t="n">
        <x:v>46185</x:v>
      </x:c>
      <x:c r="B5" t="str">
        <x:v>Pantry</x:v>
      </x:c>
      <x:c r="C5" t="str">
        <x:v>Rice</x:v>
      </x:c>
      <x:c r="D5" t="str">
        <x:v>5 lb bag</x:v>
      </x:c>
      <x:c r="E5" s="8" t="n">
        <x:v>4.99</x:v>
      </x:c>
      <x:c r="F5" s="8" t="n">
        <x:v>3.34</x:v>
      </x:c>
      <x:c r="G5" t="str">
        <x:f>IF(COUNTA(E5:F5)=0,"",IF(E5=F5,"Tie",IF(E5&lt;F5,"IGA","Walmart")))</x:f>
        <x:v>Walmart</x:v>
      </x:c>
      <x:c r="H5" s="8" t="n">
        <x:f>IF(COUNTA(E5:F5)=0,"",MIN(E5:F5))</x:f>
        <x:v>3.34</x:v>
      </x:c>
    </x:row>
    <x:row r="6">
      <x:c r="A6" s="7" t="n">
        <x:v>46185</x:v>
      </x:c>
      <x:c r="B6" t="str">
        <x:v>Pantry</x:v>
      </x:c>
      <x:c r="C6" t="str">
        <x:v>Flour</x:v>
      </x:c>
      <x:c r="D6" t="str">
        <x:v>5 lb bag</x:v>
      </x:c>
      <x:c r="E6" s="8" t="n">
        <x:v>3.29</x:v>
      </x:c>
      <x:c r="F6" s="8" t="n">
        <x:v>2.58</x:v>
      </x:c>
      <x:c r="G6" t="str">
        <x:f>IF(COUNTA(E6:F6)=0,"",IF(E6=F6,"Tie",IF(E6&lt;F6,"IGA","Walmart")))</x:f>
        <x:v>Walmart</x:v>
      </x:c>
      <x:c r="H6" s="8" t="n">
        <x:f>IF(COUNTA(E6:F6)=0,"",MIN(E6:F6))</x:f>
        <x:v>2.58</x:v>
      </x:c>
    </x:row>
    <x:row r="7">
      <x:c r="A7" s="7" t="n">
        <x:v>46185</x:v>
      </x:c>
      <x:c r="B7" t="str">
        <x:v>Pantry</x:v>
      </x:c>
      <x:c r="C7" t="str">
        <x:v>Sugar</x:v>
      </x:c>
      <x:c r="D7" t="str">
        <x:v>4 lb bag</x:v>
      </x:c>
      <x:c r="E7" s="8" t="n">
        <x:v>3.69</x:v>
      </x:c>
      <x:c r="F7" s="8" t="n">
        <x:v>2.94</x:v>
      </x:c>
      <x:c r="G7" t="str">
        <x:f>IF(COUNTA(E7:F7)=0,"",IF(E7=F7,"Tie",IF(E7&lt;F7,"IGA","Walmart")))</x:f>
        <x:v>Walmart</x:v>
      </x:c>
      <x:c r="H7" s="8" t="n">
        <x:f>IF(COUNTA(E7:F7)=0,"",MIN(E7:F7))</x:f>
        <x:v>2.94</x:v>
      </x:c>
    </x:row>
    <x:row r="8">
      <x:c r="A8" s="7" t="n">
        <x:v>46185</x:v>
      </x:c>
      <x:c r="B8" t="str">
        <x:v>Dairy &amp; Eggs</x:v>
      </x:c>
      <x:c r="C8" t="str">
        <x:v>Butter</x:v>
      </x:c>
      <x:c r="D8" t="str">
        <x:v>1 lb sticks</x:v>
      </x:c>
      <x:c r="E8" s="8" t="n">
        <x:v>4.99</x:v>
      </x:c>
      <x:c r="F8" s="8" t="n">
        <x:v>4.18</x:v>
      </x:c>
      <x:c r="G8" t="str">
        <x:f>IF(COUNTA(E8:F8)=0,"",IF(E8=F8,"Tie",IF(E8&lt;F8,"IGA","Walmart")))</x:f>
        <x:v>Walmart</x:v>
      </x:c>
      <x:c r="H8" s="8" t="n">
        <x:f>IF(COUNTA(E8:F8)=0,"",MIN(E8:F8))</x:f>
        <x:v>4.18</x:v>
      </x:c>
    </x:row>
    <x:row r="9">
      <x:c r="A9" s="7" t="n">
        <x:v>46185</x:v>
      </x:c>
      <x:c r="B9" t="str">
        <x:v>Pantry</x:v>
      </x:c>
      <x:c r="C9" t="str">
        <x:v>Peanut Butter</x:v>
      </x:c>
      <x:c r="D9" t="str">
        <x:v>16 oz jar</x:v>
      </x:c>
      <x:c r="E9" s="8" t="n">
        <x:v>2.99</x:v>
      </x:c>
      <x:c r="F9" s="8" t="n">
        <x:v>2.24</x:v>
      </x:c>
      <x:c r="G9" t="str">
        <x:f>IF(COUNTA(E9:F9)=0,"",IF(E9=F9,"Tie",IF(E9&lt;F9,"IGA","Walmart")))</x:f>
        <x:v>Walmart</x:v>
      </x:c>
      <x:c r="H9" s="8" t="n">
        <x:f>IF(COUNTA(E9:F9)=0,"",MIN(E9:F9))</x:f>
        <x:v>2.24</x:v>
      </x:c>
    </x:row>
    <x:row r="10">
      <x:c r="A10" s="7" t="n">
        <x:v>46185</x:v>
      </x:c>
      <x:c r="B10" t="str">
        <x:v>Pantry</x:v>
      </x:c>
      <x:c r="C10" t="str">
        <x:v>Spaghetti Pasta Noodles</x:v>
      </x:c>
      <x:c r="D10" t="str">
        <x:v>16 oz box</x:v>
      </x:c>
      <x:c r="E10" s="8" t="n">
        <x:v>1.89</x:v>
      </x:c>
      <x:c r="F10" s="8" t="n">
        <x:v>1.18</x:v>
      </x:c>
      <x:c r="G10" t="str">
        <x:f>IF(COUNTA(E10:F10)=0,"",IF(E10=F10,"Tie",IF(E10&lt;F10,"IGA","Walmart")))</x:f>
        <x:v>Walmart</x:v>
      </x:c>
      <x:c r="H10" s="8" t="n">
        <x:f>IF(COUNTA(E10:F10)=0,"",MIN(E10:F10))</x:f>
        <x:v>1.18</x:v>
      </x:c>
    </x:row>
    <x:row r="11">
      <x:c r="A11" s="7" t="n">
        <x:v>46185</x:v>
      </x:c>
      <x:c r="B11" t="str">
        <x:v>Pantry</x:v>
      </x:c>
      <x:c r="C11" t="str">
        <x:v>Cooking / Veg Oil</x:v>
      </x:c>
      <x:c r="D11" t="str">
        <x:v>48 fl oz</x:v>
      </x:c>
      <x:c r="E11" s="8" t="n">
        <x:v>4.79</x:v>
      </x:c>
      <x:c r="F11" s="8" t="n">
        <x:v>3.67</x:v>
      </x:c>
      <x:c r="G11" t="str">
        <x:f>IF(COUNTA(E11:F11)=0,"",IF(E11=F11,"Tie",IF(E11&lt;F11,"IGA","Walmart")))</x:f>
        <x:v>Walmart</x:v>
      </x:c>
      <x:c r="H11" s="8" t="n">
        <x:f>IF(COUNTA(E11:F11)=0,"",MIN(E11:F11))</x:f>
        <x:v>3.67</x:v>
      </x:c>
    </x:row>
    <x:row r="12">
      <x:c r="A12" s="7" t="n">
        <x:v>46185</x:v>
      </x:c>
      <x:c r="B12" t="str">
        <x:v>Meat</x:v>
      </x:c>
      <x:c r="C12" t="str">
        <x:v>Ground Beef</x:v>
      </x:c>
      <x:c r="D12" t="str">
        <x:v>1 lb, 80/20</x:v>
      </x:c>
      <x:c r="E12" s="8" t="n">
        <x:v>5.49</x:v>
      </x:c>
      <x:c r="F12" s="8" t="n">
        <x:v>4.96</x:v>
      </x:c>
      <x:c r="G12" t="str">
        <x:f>IF(COUNTA(E12:F12)=0,"",IF(E12=F12,"Tie",IF(E12&lt;F12,"IGA","Walmart")))</x:f>
        <x:v>Walmart</x:v>
      </x:c>
      <x:c r="H12" s="8" t="n">
        <x:f>IF(COUNTA(E12:F12)=0,"",MIN(E12:F12))</x:f>
        <x:v>4.96</x:v>
      </x:c>
    </x:row>
    <x:row r="13">
      <x:c r="A13" s="7" t="n">
        <x:v>46185</x:v>
      </x:c>
      <x:c r="B13" t="str">
        <x:v>Meat</x:v>
      </x:c>
      <x:c r="C13" t="str">
        <x:v>Chicken Tenders</x:v>
      </x:c>
      <x:c r="D13" t="str">
        <x:v>1 lb fresh</x:v>
      </x:c>
      <x:c r="E13" s="8" t="n">
        <x:v>4.99</x:v>
      </x:c>
      <x:c r="F13" s="8" t="n">
        <x:v>4.47</x:v>
      </x:c>
      <x:c r="G13" t="str">
        <x:f>IF(COUNTA(E13:F13)=0,"",IF(E13=F13,"Tie",IF(E13&lt;F13,"IGA","Walmart")))</x:f>
        <x:v>Walmart</x:v>
      </x:c>
      <x:c r="H13" s="8" t="n">
        <x:f>IF(COUNTA(E13:F13)=0,"",MIN(E13:F13))</x:f>
        <x:v>4.47</x:v>
      </x:c>
    </x:row>
    <x:row r="14">
      <x:c r="A14" s="7" t="n">
        <x:v>46185</x:v>
      </x:c>
      <x:c r="B14" t="str">
        <x:v>Meat</x:v>
      </x:c>
      <x:c r="C14" t="str">
        <x:v>Bacon</x:v>
      </x:c>
      <x:c r="D14" t="str">
        <x:v>12 oz pack</x:v>
      </x:c>
      <x:c r="E14" s="8" t="n">
        <x:v>5.99</x:v>
      </x:c>
      <x:c r="F14" s="8" t="n">
        <x:v>4.98</x:v>
      </x:c>
      <x:c r="G14" t="str">
        <x:f>IF(COUNTA(E14:F14)=0,"",IF(E14=F14,"Tie",IF(E14&lt;F14,"IGA","Walmart")))</x:f>
        <x:v>Walmart</x:v>
      </x:c>
      <x:c r="H14" s="8" t="n">
        <x:f>IF(COUNTA(E14:F14)=0,"",MIN(E14:F14))</x:f>
        <x:v>4.98</x:v>
      </x:c>
    </x:row>
    <x:row r="15">
      <x:c r="A15" s="7" t="n">
        <x:v>46185</x:v>
      </x:c>
      <x:c r="B15" t="str">
        <x:v>Meat</x:v>
      </x:c>
      <x:c r="C15" t="str">
        <x:v>Sandwich Turkey</x:v>
      </x:c>
      <x:c r="D15" t="str">
        <x:v>9 oz deli pack</x:v>
      </x:c>
      <x:c r="E15" s="8" t="n">
        <x:v>4.49</x:v>
      </x:c>
      <x:c r="F15" s="8" t="n">
        <x:v>3.92</x:v>
      </x:c>
      <x:c r="G15" t="str">
        <x:f>IF(COUNTA(E15:F15)=0,"",IF(E15=F15,"Tie",IF(E15&lt;F15,"IGA","Walmart")))</x:f>
        <x:v>Walmart</x:v>
      </x:c>
      <x:c r="H15" s="8" t="n">
        <x:f>IF(COUNTA(E15:F15)=0,"",MIN(E15:F15))</x:f>
        <x:v>3.92</x:v>
      </x:c>
    </x:row>
    <x:row r="16">
      <x:c r="A16" s="7" t="n">
        <x:v>46185</x:v>
      </x:c>
      <x:c r="B16" t="str">
        <x:v>Produce</x:v>
      </x:c>
      <x:c r="C16" t="str">
        <x:v>Bananas</x:v>
      </x:c>
      <x:c r="D16" t="str">
        <x:v>1 lb</x:v>
      </x:c>
      <x:c r="E16" s="8" t="n">
        <x:v>0.69</x:v>
      </x:c>
      <x:c r="F16" s="8" t="n">
        <x:v>0.58</x:v>
      </x:c>
      <x:c r="G16" t="str">
        <x:f>IF(COUNTA(E16:F16)=0,"",IF(E16=F16,"Tie",IF(E16&lt;F16,"IGA","Walmart")))</x:f>
        <x:v>Walmart</x:v>
      </x:c>
      <x:c r="H16" s="8" t="n">
        <x:f>IF(COUNTA(E16:F16)=0,"",MIN(E16:F16))</x:f>
        <x:v>0.58</x:v>
      </x:c>
    </x:row>
    <x:row r="17">
      <x:c r="A17" s="7" t="n">
        <x:v>46185</x:v>
      </x:c>
      <x:c r="B17" t="str">
        <x:v>Produce</x:v>
      </x:c>
      <x:c r="C17" t="str">
        <x:v>Potatoes</x:v>
      </x:c>
      <x:c r="D17" t="str">
        <x:v>5 lb bag</x:v>
      </x:c>
      <x:c r="E17" s="8" t="n">
        <x:v>4.49</x:v>
      </x:c>
      <x:c r="F17" s="8" t="n">
        <x:v>3.77</x:v>
      </x:c>
      <x:c r="G17" t="str">
        <x:f>IF(COUNTA(E17:F17)=0,"",IF(E17=F17,"Tie",IF(E17&lt;F17,"IGA","Walmart")))</x:f>
        <x:v>Walmart</x:v>
      </x:c>
      <x:c r="H17" s="8" t="n">
        <x:f>IF(COUNTA(E17:F17)=0,"",MIN(E17:F17))</x:f>
        <x:v>3.77</x:v>
      </x:c>
    </x:row>
    <x:row r="18">
      <x:c r="A18" s="7" t="n">
        <x:v>46185</x:v>
      </x:c>
      <x:c r="B18" t="str">
        <x:v>Drinks &amp; Snacks</x:v>
      </x:c>
      <x:c r="C18" t="str">
        <x:v>Coca-Cola and Pepsi Cola</x:v>
      </x:c>
      <x:c r="D18" t="str">
        <x:v>12 pack cans</x:v>
      </x:c>
      <x:c r="E18" s="8" t="n">
        <x:v>7.99</x:v>
      </x:c>
      <x:c r="F18" s="8" t="n">
        <x:v>6.98</x:v>
      </x:c>
      <x:c r="G18" t="str">
        <x:f>IF(COUNTA(E18:F18)=0,"",IF(E18=F18,"Tie",IF(E18&lt;F18,"IGA","Walmart")))</x:f>
        <x:v>Walmart</x:v>
      </x:c>
      <x:c r="H18" s="8" t="n">
        <x:f>IF(COUNTA(E18:F18)=0,"",MIN(E18:F18))</x:f>
        <x:v>6.98</x:v>
      </x:c>
    </x:row>
    <x:row r="19">
      <x:c r="A19" s="7" t="n">
        <x:v>46185</x:v>
      </x:c>
      <x:c r="B19" t="str">
        <x:v>Frozen</x:v>
      </x:c>
      <x:c r="C19" t="str">
        <x:v>Frozen Pizza</x:v>
      </x:c>
      <x:c r="D19" t="str">
        <x:v>standard 12 inch</x:v>
      </x:c>
      <x:c r="E19" s="8" t="n">
        <x:v>5.49</x:v>
      </x:c>
      <x:c r="F19" s="8" t="n">
        <x:v>4.48</x:v>
      </x:c>
      <x:c r="G19" t="str">
        <x:f>IF(COUNTA(E19:F19)=0,"",IF(E19=F19,"Tie",IF(E19&lt;F19,"IGA","Walmart")))</x:f>
        <x:v>Walmart</x:v>
      </x:c>
      <x:c r="H19" s="8" t="n">
        <x:f>IF(COUNTA(E19:F19)=0,"",MIN(E19:F19))</x:f>
        <x:v>4.48</x:v>
      </x:c>
    </x:row>
    <x:row r="20">
      <x:c r="A20" s="7" t="n">
        <x:v>46185</x:v>
      </x:c>
      <x:c r="B20" t="str">
        <x:v>Pantry</x:v>
      </x:c>
      <x:c r="C20" t="str">
        <x:v>Coffee</x:v>
      </x:c>
      <x:c r="D20" t="str">
        <x:v>medium roast 30 oz</x:v>
      </x:c>
      <x:c r="E20" s="8" t="n">
        <x:v>10.99</x:v>
      </x:c>
      <x:c r="F20" s="8" t="n">
        <x:v>8.98</x:v>
      </x:c>
      <x:c r="G20" t="str">
        <x:f>IF(COUNTA(E20:F20)=0,"",IF(E20=F20,"Tie",IF(E20&lt;F20,"IGA","Walmart")))</x:f>
        <x:v>Walmart</x:v>
      </x:c>
      <x:c r="H20" s="8" t="n">
        <x:f>IF(COUNTA(E20:F20)=0,"",MIN(E20:F20))</x:f>
        <x:v>8.98</x:v>
      </x:c>
    </x:row>
    <x:row r="21">
      <x:c r="A21" s="7" t="n">
        <x:v>46185</x:v>
      </x:c>
      <x:c r="B21" t="str">
        <x:v>Household</x:v>
      </x:c>
      <x:c r="C21" t="str">
        <x:v>Toilet Paper</x:v>
      </x:c>
      <x:c r="D21" t="str">
        <x:v>12 mega rolls</x:v>
      </x:c>
      <x:c r="E21" s="8" t="n">
        <x:v>12.99</x:v>
      </x:c>
      <x:c r="F21" s="8" t="n">
        <x:v>10.98</x:v>
      </x:c>
      <x:c r="G21" t="str">
        <x:f>IF(COUNTA(E21:F21)=0,"",IF(E21=F21,"Tie",IF(E21&lt;F21,"IGA","Walmart")))</x:f>
        <x:v>Walmart</x:v>
      </x:c>
      <x:c r="H21" s="8" t="n">
        <x:f>IF(COUNTA(E21:F21)=0,"",MIN(E21:F21))</x:f>
        <x:v>10.98</x:v>
      </x:c>
    </x:row>
    <x:row r="22">
      <x:c r="A22" s="7" t="n">
        <x:v>46185</x:v>
      </x:c>
      <x:c r="B22" t="str">
        <x:v>Household</x:v>
      </x:c>
      <x:c r="C22" t="str">
        <x:v>Laundry Detergent</x:v>
      </x:c>
      <x:c r="D22" t="str">
        <x:v>92 fl oz</x:v>
      </x:c>
      <x:c r="E22" s="8" t="n">
        <x:v>13.49</x:v>
      </x:c>
      <x:c r="F22" s="8" t="n">
        <x:v>11.97</x:v>
      </x:c>
      <x:c r="G22" t="str">
        <x:f>IF(COUNTA(E22:F22)=0,"",IF(E22=F22,"Tie",IF(E22&lt;F22,"IGA","Walmart")))</x:f>
        <x:v>Walmart</x:v>
      </x:c>
      <x:c r="H22" s="8" t="n">
        <x:f>IF(COUNTA(E22:F22)=0,"",MIN(E22:F22))</x:f>
        <x:v>11.97</x:v>
      </x:c>
    </x:row>
    <x:row r="23">
      <x:c r="A23" s="7" t="n">
        <x:v>46185</x:v>
      </x:c>
      <x:c r="B23" t="str">
        <x:v>Household</x:v>
      </x:c>
      <x:c r="C23" t="str">
        <x:v>Dryer Sheets</x:v>
      </x:c>
      <x:c r="D23" t="str">
        <x:v>120 count</x:v>
      </x:c>
      <x:c r="E23" s="8" t="n">
        <x:v>5.49</x:v>
      </x:c>
      <x:c r="F23" s="8" t="n">
        <x:v>4.48</x:v>
      </x:c>
      <x:c r="G23" t="str">
        <x:f>IF(COUNTA(E23:F23)=0,"",IF(E23=F23,"Tie",IF(E23&lt;F23,"IGA","Walmart")))</x:f>
        <x:v>Walmart</x:v>
      </x:c>
      <x:c r="H23" s="8" t="n">
        <x:f>IF(COUNTA(E23:F23)=0,"",MIN(E23:F23))</x:f>
        <x:v>4.48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3.329999923706055" hidden="0" customWidth="1"/>
    <x:col min="3" max="3" width="24.440000534057617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</x:cols>
  <x:sheetData>
    <x:row r="1">
      <x:c r="A1" s="6" t="str">
        <x:v>Date</x:v>
      </x:c>
      <x:c r="B1" s="6" t="str">
        <x:v>Fuel</x:v>
      </x:c>
      <x:c r="C1" s="6" t="str">
        <x:v>Unit</x:v>
      </x:c>
      <x:c r="D1" s="6" t="str">
        <x:v>Jiffy Mart Price</x:v>
      </x:c>
      <x:c r="E1" s="6" t="str">
        <x:v>BP Price</x:v>
      </x:c>
      <x:c r="F1" s="6" t="str">
        <x:v>Lowest Station</x:v>
      </x:c>
      <x:c r="G1" s="6" t="str">
        <x:v>Lowest Price</x:v>
      </x:c>
      <x:c r="H1" s="6"/>
    </x:row>
    <x:row r="2">
      <x:c r="A2" s="7" t="n">
        <x:v>46185</x:v>
      </x:c>
      <x:c r="B2" t="str">
        <x:v>Gasoline</x:v>
      </x:c>
      <x:c r="C2" t="str">
        <x:v>regular unleaded, per gallon</x:v>
      </x:c>
      <x:c r="D2" s="8" t="n">
        <x:v>3.39</x:v>
      </x:c>
      <x:c r="E2" s="8" t="n">
        <x:v>3.45</x:v>
      </x:c>
      <x:c r="F2" t="str">
        <x:f>IF(COUNTA(D2:E2)=0,"",IF(D2=E2,"Tie",IF(D2&lt;E2,"Jiffy Mart","BP")))</x:f>
        <x:v>Jiffy Mart</x:v>
      </x:c>
      <x:c r="G2" s="8" t="n">
        <x:f>IF(COUNTA(D2:E2)=0,"",MIN(D2:E2))</x:f>
        <x:v>3.39</x:v>
      </x:c>
    </x:row>
    <x:row r="3">
      <x:c r="A3" s="7" t="n">
        <x:v>46185</x:v>
      </x:c>
      <x:c r="B3" t="str">
        <x:v>Diesel</x:v>
      </x:c>
      <x:c r="C3" t="str">
        <x:v>per gallon</x:v>
      </x:c>
      <x:c r="D3" s="8" t="n">
        <x:v>3.99</x:v>
      </x:c>
      <x:c r="E3" s="8" t="n">
        <x:v>4.05</x:v>
      </x:c>
      <x:c r="F3" t="str">
        <x:f>IF(COUNTA(D3:E3)=0,"",IF(D3=E3,"Tie",IF(D3&lt;E3,"Jiffy Mart","BP")))</x:f>
        <x:v>Jiffy Mart</x:v>
      </x:c>
      <x:c r="G3" s="8" t="n">
        <x:f>IF(COUNTA(D3:E3)=0,"",MIN(D3:E3))</x:f>
        <x:v>3.99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</x:cols>
  <x:sheetData>
    <x:row r="1">
      <x:c r="A1" s="3" t="str">
        <x:v>Jackson Price Entry Workbook</x:v>
      </x:c>
      <x:c r="B1" s="3" t="str"/>
      <x:c r="C1" s="3" t="str"/>
      <x:c r="D1" s="3" t="str"/>
    </x:row>
    <x:row r="3">
      <x:c r="A3" t="str">
        <x:v>Current entry date</x:v>
      </x:c>
      <x:c r="B3" s="7" t="n">
        <x:v>46185</x:v>
      </x:c>
    </x:row>
    <x:row r="4">
      <x:c r="A4" t="str">
        <x:v>Grocery items</x:v>
      </x:c>
      <x:c r="B4" t="n">
        <x:v>22</x:v>
      </x:c>
    </x:row>
    <x:row r="5">
      <x:c r="A5" t="str">
        <x:v>IGA grocery basket</x:v>
      </x:c>
      <x:c r="B5" s="8" t="n">
        <x:f>SUM('Grocery Prices'!E2:E23)</x:f>
        <x:v>119.87999999999998</x:v>
      </x:c>
    </x:row>
    <x:row r="6">
      <x:c r="A6" t="str">
        <x:v>Walmart grocery basket</x:v>
      </x:c>
      <x:c r="B6" s="8" t="n">
        <x:f>SUM('Grocery Prices'!F2:F23)</x:f>
        <x:v>99.34000000000002</x:v>
      </x:c>
    </x:row>
    <x:row r="7">
      <x:c r="A7" t="str">
        <x:v>Jiffy Mart fuel avg</x:v>
      </x:c>
      <x:c r="B7" s="8" t="n">
        <x:f>AVERAGE('Fuel Prices'!D2:D3)</x:f>
        <x:v>3.6900000000000004</x:v>
      </x:c>
    </x:row>
    <x:row r="8">
      <x:c r="A8" t="str">
        <x:v>BP fuel avg</x:v>
      </x:c>
      <x:c r="B8" s="8" t="n">
        <x:f>AVERAGE('Fuel Prices'!E2:E3)</x:f>
        <x:v>3.75</x:v>
      </x:c>
    </x:row>
    <x:row r="10">
      <x:c r="A10" s="5" t="str">
        <x:v>How to use</x:v>
      </x:c>
      <x:c r="B10" s="5" t="str"/>
      <x:c r="C10" s="5" t="str"/>
      <x:c r="D10" s="5" t="str"/>
    </x:row>
    <x:row r="11">
      <x:c r="A11" t="str">
        <x:v>Enter or replace prices in the price columns each time you shop.</x:v>
      </x:c>
      <x:c r="B11" t="str"/>
      <x:c r="C11" t="str"/>
      <x:c r="D11" t="str"/>
    </x:row>
    <x:row r="12">
      <x:c r="A12" t="str">
        <x:v>Use one dated block per shopping date; copy the existing item rows below when you need a new date.</x:v>
      </x:c>
      <x:c r="B12" t="str"/>
      <x:c r="C12" t="str"/>
      <x:c r="D12" t="str"/>
    </x:row>
    <x:row r="13">
      <x:c r="A13" t="str">
        <x:v>Lowest store/station and lowest price calculate automatically.</x:v>
      </x:c>
      <x:c r="B13" t="str"/>
      <x:c r="C13" t="str"/>
      <x:c r="D13" t="str"/>
    </x:row>
    <x:row r="14">
      <x:c r="A14" t="str">
        <x:v>This workbook currently tracks only IGA, Walmart, Jiffy Mart, and BP.</x:v>
      </x:c>
      <x:c r="B14" t="str"/>
      <x:c r="C14" t="str"/>
      <x:c r="D14" t="str"/>
    </x:row>
  </x:sheetData>
  <x:mergeCells>
    <x:mergeCell ref="A1:D1"/>
    <x:mergeCell ref="A10:D10"/>
  </x:mergeCells>
  <x:pageMargins left="0.7" right="0.7" top="0.75" bottom="0.75" header="0.3" footer="0.3"/>
</x:worksheet>
</file>